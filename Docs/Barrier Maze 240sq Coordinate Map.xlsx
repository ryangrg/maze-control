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<sst xmlns="http://schemas.openxmlformats.org/spreadsheetml/2006/main" count="35" uniqueCount="31">
  <si>
    <t>Mask Cordinates for Barriers (240px X 240px)</t>
  </si>
  <si>
    <t>Zone Type</t>
  </si>
  <si>
    <t>Zone</t>
  </si>
  <si>
    <t>Zone Cordinates for Reward</t>
  </si>
  <si>
    <t>Note: in display this rotated 90 degrees counter clockwise</t>
  </si>
  <si>
    <t>Top Right Corner (x, y)</t>
  </si>
  <si>
    <t>Bottom Right Corner (x, y)</t>
  </si>
  <si>
    <t>Top Right Corner (x,y)</t>
  </si>
  <si>
    <t>Bottom Right Corner (x,y)</t>
  </si>
  <si>
    <t>West Inter</t>
  </si>
  <si>
    <t>SW Reward</t>
  </si>
  <si>
    <t>W Segment</t>
  </si>
  <si>
    <t>W Intersection</t>
  </si>
  <si>
    <t>NW Reward</t>
  </si>
  <si>
    <t>North Inter</t>
  </si>
  <si>
    <t>S Segment</t>
  </si>
  <si>
    <t>Mid W Segment</t>
  </si>
  <si>
    <t>N Segment</t>
  </si>
  <si>
    <t>S Intersection</t>
  </si>
  <si>
    <t>Mid S Segment</t>
  </si>
  <si>
    <t>East Inter</t>
  </si>
  <si>
    <t>Mid Intesection</t>
  </si>
  <si>
    <t>Mid N Segment</t>
  </si>
  <si>
    <t>N Intersection</t>
  </si>
  <si>
    <t>Mid E Segment</t>
  </si>
  <si>
    <t>South Inter</t>
  </si>
  <si>
    <t>SE Reward</t>
  </si>
  <si>
    <t>E Segment</t>
  </si>
  <si>
    <t>E Intersection</t>
  </si>
  <si>
    <t>Center</t>
  </si>
  <si>
    <t>NE Reward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</si>
</sst>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  <font>
      <color rgb="FFFFFFFF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4" fontId="5" numFmtId="0" xfId="0" applyAlignment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0" fillId="5" fontId="3" numFmtId="0" xfId="0" applyAlignment="1" applyFont="1">
      <alignment horizontal="center" readingOrder="0"/>
    </xf>
    <xf borderId="5" fillId="0" fontId="2" numFmtId="0" xfId="0" applyBorder="1" applyFont="1"/>
    <xf borderId="4" fillId="0" fontId="2" numFmtId="0" xfId="0" applyBorder="1" applyFont="1"/>
    <xf borderId="0" fillId="6" fontId="5" numFmtId="0" xfId="0" applyAlignment="1" applyFill="1" applyFont="1">
      <alignment horizontal="center" readingOrder="0"/>
    </xf>
    <xf borderId="0" fillId="6" fontId="3" numFmtId="3" xfId="0" applyAlignment="1" applyFont="1" applyNumberForma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6" fontId="3" numFmtId="0" xfId="0" applyAlignment="1" applyBorder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5" fillId="0" fontId="3" numFmtId="3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7" fontId="5" numFmtId="0" xfId="0" applyAlignment="1" applyBorder="1" applyFont="1">
      <alignment horizontal="center" readingOrder="0"/>
    </xf>
    <xf borderId="6" fillId="6" fontId="3" numFmtId="0" xfId="0" applyAlignment="1" applyBorder="1" applyFont="1">
      <alignment horizontal="center" readingOrder="0"/>
    </xf>
    <xf borderId="7" fillId="8" fontId="3" numFmtId="0" xfId="0" applyAlignment="1" applyBorder="1" applyFont="1">
      <alignment horizontal="center" readingOrder="0"/>
    </xf>
    <xf borderId="7" fillId="0" fontId="3" numFmtId="3" xfId="0" applyAlignment="1" applyBorder="1" applyFont="1" applyNumberFormat="1">
      <alignment horizontal="center" readingOrder="0"/>
    </xf>
    <xf borderId="8" fillId="0" fontId="3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horizontal="center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742950</xdr:colOff>
      <xdr:row>1</xdr:row>
      <xdr:rowOff>66675</xdr:rowOff>
    </xdr:from>
    <xdr:ext cx="3952875" cy="3952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4"/>
      <c r="F1" s="5" t="s">
        <v>1</v>
      </c>
      <c r="G1" s="6" t="s">
        <v>2</v>
      </c>
      <c r="H1" s="7" t="s">
        <v>3</v>
      </c>
      <c r="I1" s="2"/>
      <c r="J1" s="2"/>
      <c r="K1" s="3"/>
      <c r="L1" s="8"/>
      <c r="M1" s="4"/>
      <c r="N1" s="9" t="s">
        <v>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0" t="s">
        <v>5</v>
      </c>
      <c r="C2" s="11" t="s">
        <v>6</v>
      </c>
      <c r="D2" s="12"/>
      <c r="E2" s="9"/>
      <c r="F2" s="13"/>
      <c r="H2" s="14" t="s">
        <v>7</v>
      </c>
      <c r="J2" s="15" t="s">
        <v>8</v>
      </c>
      <c r="K2" s="1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6" t="s">
        <v>9</v>
      </c>
      <c r="D3" s="12"/>
      <c r="E3" s="8"/>
      <c r="F3" s="17" t="s">
        <v>10</v>
      </c>
      <c r="G3" s="18">
        <v>1.0</v>
      </c>
      <c r="H3" s="19">
        <v>0.0</v>
      </c>
      <c r="I3" s="19">
        <v>0.0</v>
      </c>
      <c r="J3" s="19">
        <v>47.0</v>
      </c>
      <c r="K3" s="20">
        <v>48.0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21">
        <v>96.0</v>
      </c>
      <c r="B4" s="4">
        <v>0.0</v>
      </c>
      <c r="C4" s="4">
        <v>100.0</v>
      </c>
      <c r="D4" s="22">
        <v>28.0</v>
      </c>
      <c r="E4" s="8"/>
      <c r="F4" s="17" t="s">
        <v>11</v>
      </c>
      <c r="G4" s="18">
        <v>2.0</v>
      </c>
      <c r="H4" s="19">
        <v>47.0</v>
      </c>
      <c r="I4" s="19">
        <v>0.0</v>
      </c>
      <c r="J4" s="19">
        <f>47+49</f>
        <v>96</v>
      </c>
      <c r="K4" s="20">
        <v>45.0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21">
        <v>119.0</v>
      </c>
      <c r="B5" s="4">
        <v>11.0</v>
      </c>
      <c r="C5" s="4">
        <v>121.0</v>
      </c>
      <c r="D5" s="22">
        <v>14.0</v>
      </c>
      <c r="E5" s="8"/>
      <c r="F5" s="17" t="s">
        <v>12</v>
      </c>
      <c r="G5" s="18">
        <v>3.0</v>
      </c>
      <c r="H5" s="19">
        <v>100.0</v>
      </c>
      <c r="I5" s="19">
        <v>0.0</v>
      </c>
      <c r="J5" s="19">
        <v>140.0</v>
      </c>
      <c r="K5" s="20">
        <v>37.0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21">
        <v>140.0</v>
      </c>
      <c r="B6" s="4">
        <v>0.0</v>
      </c>
      <c r="C6" s="4">
        <v>145.0</v>
      </c>
      <c r="D6" s="22">
        <v>27.0</v>
      </c>
      <c r="E6" s="8"/>
      <c r="F6" s="17" t="s">
        <v>11</v>
      </c>
      <c r="G6" s="18">
        <v>4.0</v>
      </c>
      <c r="H6" s="19">
        <v>145.0</v>
      </c>
      <c r="I6" s="19">
        <v>0.0</v>
      </c>
      <c r="J6" s="19">
        <f>49+145</f>
        <v>194</v>
      </c>
      <c r="K6" s="20">
        <v>45.0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21">
        <v>110.0</v>
      </c>
      <c r="B7" s="4">
        <v>20.0</v>
      </c>
      <c r="C7" s="4">
        <v>130.0</v>
      </c>
      <c r="D7" s="22">
        <v>38.0</v>
      </c>
      <c r="E7" s="8"/>
      <c r="F7" s="17" t="s">
        <v>13</v>
      </c>
      <c r="G7" s="18">
        <v>5.0</v>
      </c>
      <c r="H7" s="19">
        <v>194.0</v>
      </c>
      <c r="I7" s="19">
        <v>0.0</v>
      </c>
      <c r="J7" s="19">
        <f>194+46</f>
        <v>240</v>
      </c>
      <c r="K7" s="20">
        <v>46.0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16" t="s">
        <v>14</v>
      </c>
      <c r="D8" s="12"/>
      <c r="E8" s="8"/>
      <c r="F8" s="17" t="s">
        <v>15</v>
      </c>
      <c r="G8" s="18">
        <v>6.0</v>
      </c>
      <c r="H8" s="19">
        <v>0.0</v>
      </c>
      <c r="I8" s="19">
        <v>48.0</v>
      </c>
      <c r="J8" s="19">
        <v>45.0</v>
      </c>
      <c r="K8" s="20">
        <f>49+48</f>
        <v>97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21">
        <v>214.0</v>
      </c>
      <c r="B9" s="4">
        <v>94.0</v>
      </c>
      <c r="C9" s="4">
        <v>240.0</v>
      </c>
      <c r="D9" s="22">
        <v>100.0</v>
      </c>
      <c r="E9" s="8"/>
      <c r="F9" s="17" t="s">
        <v>16</v>
      </c>
      <c r="G9" s="18">
        <v>7.0</v>
      </c>
      <c r="H9" s="19">
        <v>100.0</v>
      </c>
      <c r="I9" s="19">
        <v>38.0</v>
      </c>
      <c r="J9" s="19">
        <v>140.0</v>
      </c>
      <c r="K9" s="20">
        <f>53+38</f>
        <v>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21">
        <v>228.0</v>
      </c>
      <c r="B10" s="4">
        <v>119.0</v>
      </c>
      <c r="C10" s="4">
        <v>230.0</v>
      </c>
      <c r="D10" s="22">
        <v>121.0</v>
      </c>
      <c r="E10" s="8"/>
      <c r="F10" s="17" t="s">
        <v>17</v>
      </c>
      <c r="G10" s="18">
        <v>8.0</v>
      </c>
      <c r="H10" s="19">
        <v>195.0</v>
      </c>
      <c r="I10" s="19">
        <v>46.0</v>
      </c>
      <c r="J10" s="19">
        <f>195+45</f>
        <v>240</v>
      </c>
      <c r="K10" s="20">
        <f>48+46</f>
        <v>94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21">
        <v>214.0</v>
      </c>
      <c r="B11" s="4">
        <v>140.0</v>
      </c>
      <c r="C11" s="4">
        <v>240.0</v>
      </c>
      <c r="D11" s="22">
        <v>145.0</v>
      </c>
      <c r="E11" s="8"/>
      <c r="F11" s="17" t="s">
        <v>18</v>
      </c>
      <c r="G11" s="18">
        <v>9.0</v>
      </c>
      <c r="H11" s="19">
        <v>0.0</v>
      </c>
      <c r="I11" s="19">
        <v>102.0</v>
      </c>
      <c r="J11" s="19">
        <v>38.0</v>
      </c>
      <c r="K11" s="20">
        <f t="shared" ref="K11:K12" si="1">102+39</f>
        <v>141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21">
        <v>204.0</v>
      </c>
      <c r="B12" s="4">
        <v>110.0</v>
      </c>
      <c r="C12" s="4">
        <v>222.0</v>
      </c>
      <c r="D12" s="22">
        <v>130.0</v>
      </c>
      <c r="E12" s="8"/>
      <c r="F12" s="17" t="s">
        <v>19</v>
      </c>
      <c r="G12" s="18">
        <v>10.0</v>
      </c>
      <c r="H12" s="19">
        <v>39.0</v>
      </c>
      <c r="I12" s="19">
        <v>102.0</v>
      </c>
      <c r="J12" s="19">
        <f>39+52</f>
        <v>91</v>
      </c>
      <c r="K12" s="20">
        <f t="shared" si="1"/>
        <v>141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16" t="s">
        <v>20</v>
      </c>
      <c r="D13" s="12"/>
      <c r="E13" s="8"/>
      <c r="F13" s="17" t="s">
        <v>21</v>
      </c>
      <c r="G13" s="18">
        <v>11.0</v>
      </c>
      <c r="H13" s="19">
        <v>99.0</v>
      </c>
      <c r="I13" s="19">
        <v>99.0</v>
      </c>
      <c r="J13" s="19">
        <f>99+44</f>
        <v>143</v>
      </c>
      <c r="K13" s="20">
        <f>99+43</f>
        <v>142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21">
        <v>95.0</v>
      </c>
      <c r="B14" s="4">
        <v>214.0</v>
      </c>
      <c r="C14" s="4">
        <v>101.0</v>
      </c>
      <c r="D14" s="22">
        <v>240.0</v>
      </c>
      <c r="E14" s="8"/>
      <c r="F14" s="17" t="s">
        <v>22</v>
      </c>
      <c r="G14" s="18">
        <v>12.0</v>
      </c>
      <c r="H14" s="19">
        <v>151.0</v>
      </c>
      <c r="I14" s="19">
        <v>100.0</v>
      </c>
      <c r="J14" s="19">
        <f>151+53</f>
        <v>204</v>
      </c>
      <c r="K14" s="20">
        <v>140.0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21">
        <v>120.0</v>
      </c>
      <c r="B15" s="4">
        <v>227.0</v>
      </c>
      <c r="C15" s="4">
        <v>122.0</v>
      </c>
      <c r="D15" s="22">
        <v>230.0</v>
      </c>
      <c r="E15" s="8"/>
      <c r="F15" s="17" t="s">
        <v>23</v>
      </c>
      <c r="G15" s="18">
        <v>13.0</v>
      </c>
      <c r="H15" s="19">
        <v>205.0</v>
      </c>
      <c r="I15" s="19">
        <v>100.0</v>
      </c>
      <c r="J15" s="19">
        <v>240.0</v>
      </c>
      <c r="K15" s="20">
        <v>140.0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21">
        <v>141.0</v>
      </c>
      <c r="B16" s="4">
        <v>214.0</v>
      </c>
      <c r="C16" s="4">
        <v>146.0</v>
      </c>
      <c r="D16" s="22">
        <v>240.0</v>
      </c>
      <c r="E16" s="8"/>
      <c r="F16" s="17" t="s">
        <v>15</v>
      </c>
      <c r="G16" s="18">
        <v>14.0</v>
      </c>
      <c r="H16" s="19">
        <v>0.0</v>
      </c>
      <c r="I16" s="19">
        <v>146.0</v>
      </c>
      <c r="J16" s="19">
        <v>44.0</v>
      </c>
      <c r="K16" s="20">
        <f>146+49</f>
        <v>195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21">
        <v>111.0</v>
      </c>
      <c r="B17" s="4">
        <v>203.0</v>
      </c>
      <c r="C17" s="4">
        <v>131.0</v>
      </c>
      <c r="D17" s="22">
        <f>203+19</f>
        <v>222</v>
      </c>
      <c r="E17" s="8"/>
      <c r="F17" s="17" t="s">
        <v>24</v>
      </c>
      <c r="G17" s="18">
        <v>15.0</v>
      </c>
      <c r="H17" s="19">
        <v>101.0</v>
      </c>
      <c r="I17" s="19">
        <v>151.0</v>
      </c>
      <c r="J17" s="19">
        <v>141.0</v>
      </c>
      <c r="K17" s="20">
        <v>203.0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23" t="s">
        <v>25</v>
      </c>
      <c r="D18" s="12"/>
      <c r="E18" s="8"/>
      <c r="F18" s="17" t="s">
        <v>17</v>
      </c>
      <c r="G18" s="18">
        <v>16.0</v>
      </c>
      <c r="H18" s="19">
        <v>195.0</v>
      </c>
      <c r="I18" s="19">
        <v>145.0</v>
      </c>
      <c r="J18" s="19">
        <f>195+45</f>
        <v>240</v>
      </c>
      <c r="K18" s="20">
        <f>49+145</f>
        <v>194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21">
        <v>0.0</v>
      </c>
      <c r="B19" s="4">
        <v>97.0</v>
      </c>
      <c r="C19" s="4">
        <v>28.0</v>
      </c>
      <c r="D19" s="22">
        <v>102.0</v>
      </c>
      <c r="E19" s="8"/>
      <c r="F19" s="17" t="s">
        <v>26</v>
      </c>
      <c r="G19" s="18">
        <v>17.0</v>
      </c>
      <c r="H19" s="19">
        <v>0.0</v>
      </c>
      <c r="I19" s="19">
        <v>195.0</v>
      </c>
      <c r="J19" s="19">
        <v>48.0</v>
      </c>
      <c r="K19" s="20">
        <f>188+52</f>
        <v>240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21">
        <v>11.0</v>
      </c>
      <c r="B20" s="4">
        <v>120.0</v>
      </c>
      <c r="C20" s="4">
        <v>15.0</v>
      </c>
      <c r="D20" s="22">
        <v>123.0</v>
      </c>
      <c r="E20" s="8"/>
      <c r="F20" s="17" t="s">
        <v>27</v>
      </c>
      <c r="G20" s="18">
        <v>18.0</v>
      </c>
      <c r="H20" s="19">
        <v>48.0</v>
      </c>
      <c r="I20" s="19">
        <v>202.0</v>
      </c>
      <c r="J20" s="19">
        <f>47+48</f>
        <v>95</v>
      </c>
      <c r="K20" s="20">
        <v>240.0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21">
        <v>0.0</v>
      </c>
      <c r="B21" s="4">
        <v>141.0</v>
      </c>
      <c r="C21" s="4">
        <v>28.0</v>
      </c>
      <c r="D21" s="22">
        <v>146.0</v>
      </c>
      <c r="E21" s="8"/>
      <c r="F21" s="17" t="s">
        <v>28</v>
      </c>
      <c r="G21" s="18">
        <v>19.0</v>
      </c>
      <c r="H21" s="19">
        <v>101.0</v>
      </c>
      <c r="I21" s="19">
        <v>204.0</v>
      </c>
      <c r="J21" s="19">
        <v>141.0</v>
      </c>
      <c r="K21" s="20">
        <v>240.0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21">
        <v>20.0</v>
      </c>
      <c r="B22" s="4">
        <v>111.0</v>
      </c>
      <c r="C22" s="4">
        <v>39.0</v>
      </c>
      <c r="D22" s="22">
        <v>131.0</v>
      </c>
      <c r="E22" s="8"/>
      <c r="F22" s="17" t="s">
        <v>27</v>
      </c>
      <c r="G22" s="18">
        <v>20.0</v>
      </c>
      <c r="H22" s="19">
        <v>146.0</v>
      </c>
      <c r="I22" s="19">
        <v>201.0</v>
      </c>
      <c r="J22" s="19">
        <f>49+146</f>
        <v>195</v>
      </c>
      <c r="K22" s="20">
        <v>240.0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16" t="s">
        <v>29</v>
      </c>
      <c r="D23" s="12"/>
      <c r="E23" s="8"/>
      <c r="F23" s="24" t="s">
        <v>30</v>
      </c>
      <c r="G23" s="25">
        <v>21.0</v>
      </c>
      <c r="H23" s="26">
        <v>195.0</v>
      </c>
      <c r="I23" s="26">
        <v>194.0</v>
      </c>
      <c r="J23" s="26">
        <v>240.0</v>
      </c>
      <c r="K23" s="27">
        <v>240.0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21">
        <v>109.0</v>
      </c>
      <c r="B24" s="4">
        <v>91.0</v>
      </c>
      <c r="C24" s="4">
        <f>109+23</f>
        <v>132</v>
      </c>
      <c r="D24" s="22">
        <v>99.0</v>
      </c>
      <c r="E24" s="8"/>
      <c r="F24" s="8"/>
      <c r="G24" s="8"/>
      <c r="H24" s="8"/>
      <c r="I24" s="8"/>
      <c r="J24" s="28"/>
      <c r="K24" s="2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21">
        <v>143.0</v>
      </c>
      <c r="B25" s="4">
        <v>109.0</v>
      </c>
      <c r="C25" s="4">
        <f>143+8</f>
        <v>151</v>
      </c>
      <c r="D25" s="22">
        <f>109+23</f>
        <v>132</v>
      </c>
      <c r="E25" s="8"/>
      <c r="F25" s="8"/>
      <c r="G25" s="8"/>
      <c r="H25" s="8"/>
      <c r="I25" s="8"/>
      <c r="J25" s="28"/>
      <c r="K25" s="2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21">
        <v>110.0</v>
      </c>
      <c r="B26" s="4">
        <v>142.0</v>
      </c>
      <c r="C26" s="4">
        <v>132.0</v>
      </c>
      <c r="D26" s="22">
        <v>151.0</v>
      </c>
      <c r="E26" s="8"/>
      <c r="F26" s="8"/>
      <c r="G26" s="8"/>
      <c r="H26" s="8"/>
      <c r="I26" s="8"/>
      <c r="J26" s="28"/>
      <c r="K26" s="2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29">
        <v>91.0</v>
      </c>
      <c r="B27" s="30">
        <v>110.0</v>
      </c>
      <c r="C27" s="30">
        <v>99.0</v>
      </c>
      <c r="D27" s="31">
        <v>132.0</v>
      </c>
      <c r="E27" s="8"/>
      <c r="F27" s="8"/>
      <c r="G27" s="8"/>
      <c r="H27" s="8"/>
      <c r="I27" s="8"/>
      <c r="J27" s="28"/>
      <c r="K27" s="2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28"/>
      <c r="K28" s="2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28"/>
      <c r="K29" s="2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28"/>
      <c r="K30" s="2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28"/>
      <c r="K31" s="2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28"/>
      <c r="K32" s="2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28"/>
      <c r="K33" s="2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28"/>
      <c r="K34" s="2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28"/>
      <c r="K35" s="2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28"/>
      <c r="K36" s="2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28"/>
      <c r="K37" s="2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28"/>
      <c r="K38" s="2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28"/>
      <c r="K39" s="2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28"/>
      <c r="K40" s="2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28"/>
      <c r="K41" s="2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28"/>
      <c r="K42" s="2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28"/>
      <c r="K43" s="2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28"/>
      <c r="K44" s="2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28"/>
      <c r="K45" s="2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28"/>
      <c r="K46" s="2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28"/>
      <c r="K47" s="2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28"/>
      <c r="K48" s="2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28"/>
      <c r="K49" s="2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28"/>
      <c r="K50" s="2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28"/>
      <c r="K51" s="2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28"/>
      <c r="K52" s="2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28"/>
      <c r="K53" s="2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28"/>
      <c r="K55" s="2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28"/>
      <c r="K56" s="2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28"/>
      <c r="K57" s="2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28"/>
      <c r="K58" s="2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28"/>
      <c r="K59" s="2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28"/>
      <c r="K60" s="2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28"/>
      <c r="K61" s="2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28"/>
      <c r="K62" s="2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28"/>
      <c r="K63" s="2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28"/>
      <c r="K64" s="2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28"/>
      <c r="K65" s="2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28"/>
      <c r="K66" s="2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28"/>
      <c r="K67" s="2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28"/>
      <c r="K68" s="2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28"/>
      <c r="K69" s="2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28"/>
      <c r="K70" s="2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28"/>
      <c r="K71" s="2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28"/>
      <c r="K72" s="2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28"/>
      <c r="K73" s="2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28"/>
      <c r="K74" s="2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28"/>
      <c r="K75" s="2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28"/>
      <c r="K76" s="2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28"/>
      <c r="K77" s="2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28"/>
      <c r="K78" s="2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28"/>
      <c r="K79" s="2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28"/>
      <c r="K80" s="2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28"/>
      <c r="K81" s="2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28"/>
      <c r="K82" s="2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28"/>
      <c r="K83" s="2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28"/>
      <c r="K84" s="2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28"/>
      <c r="K85" s="2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28"/>
      <c r="K86" s="2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28"/>
      <c r="K87" s="2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28"/>
      <c r="K88" s="2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28"/>
      <c r="K89" s="2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28"/>
      <c r="K90" s="2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28"/>
      <c r="K91" s="2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28"/>
      <c r="K92" s="2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28"/>
      <c r="K93" s="2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28"/>
      <c r="K94" s="2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28"/>
      <c r="K95" s="2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28"/>
      <c r="K96" s="2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28"/>
      <c r="K97" s="2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28"/>
      <c r="K98" s="2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28"/>
      <c r="K99" s="2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28"/>
      <c r="K100" s="2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28"/>
      <c r="K101" s="2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28"/>
      <c r="K102" s="2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28"/>
      <c r="K103" s="2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28"/>
      <c r="K104" s="2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28"/>
      <c r="K105" s="2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28"/>
      <c r="K106" s="2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28"/>
      <c r="K107" s="2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28"/>
      <c r="K108" s="2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28"/>
      <c r="K109" s="2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28"/>
      <c r="K110" s="2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28"/>
      <c r="K111" s="2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28"/>
      <c r="K112" s="2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28"/>
      <c r="K113" s="2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28"/>
      <c r="K114" s="2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28"/>
      <c r="K115" s="2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28"/>
      <c r="K116" s="2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28"/>
      <c r="K117" s="2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28"/>
      <c r="K118" s="2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28"/>
      <c r="K119" s="2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28"/>
      <c r="K120" s="2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28"/>
      <c r="K121" s="2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28"/>
      <c r="K122" s="2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28"/>
      <c r="K123" s="2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28"/>
      <c r="K124" s="2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28"/>
      <c r="K125" s="2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28"/>
      <c r="K126" s="2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28"/>
      <c r="K127" s="2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28"/>
      <c r="K128" s="2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28"/>
      <c r="K129" s="2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28"/>
      <c r="K130" s="2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28"/>
      <c r="K131" s="2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28"/>
      <c r="K132" s="2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28"/>
      <c r="K133" s="2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28"/>
      <c r="K134" s="2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28"/>
      <c r="K135" s="2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28"/>
      <c r="K136" s="2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28"/>
      <c r="K137" s="2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28"/>
      <c r="K138" s="2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28"/>
      <c r="K139" s="2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28"/>
      <c r="K140" s="2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28"/>
      <c r="K141" s="2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28"/>
      <c r="K142" s="2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28"/>
      <c r="K143" s="2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28"/>
      <c r="K144" s="2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28"/>
      <c r="K145" s="2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28"/>
      <c r="K146" s="2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28"/>
      <c r="K147" s="2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28"/>
      <c r="K148" s="2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28"/>
      <c r="K149" s="2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28"/>
      <c r="K150" s="2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28"/>
      <c r="K151" s="2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28"/>
      <c r="K152" s="2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28"/>
      <c r="K153" s="2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28"/>
      <c r="K154" s="2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28"/>
      <c r="K155" s="2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28"/>
      <c r="K156" s="2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28"/>
      <c r="K157" s="2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28"/>
      <c r="K158" s="2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28"/>
      <c r="K159" s="2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28"/>
      <c r="K160" s="2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28"/>
      <c r="K161" s="2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28"/>
      <c r="K162" s="2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28"/>
      <c r="K163" s="2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28"/>
      <c r="K164" s="2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28"/>
      <c r="K165" s="2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28"/>
      <c r="K166" s="2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28"/>
      <c r="K167" s="2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28"/>
      <c r="K168" s="2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28"/>
      <c r="K169" s="2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28"/>
      <c r="K170" s="2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28"/>
      <c r="K171" s="2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28"/>
      <c r="K172" s="2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28"/>
      <c r="K173" s="2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28"/>
      <c r="K174" s="2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28"/>
      <c r="K175" s="2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28"/>
      <c r="K176" s="2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28"/>
      <c r="K177" s="2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28"/>
      <c r="K178" s="2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28"/>
      <c r="K179" s="2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28"/>
      <c r="K180" s="2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28"/>
      <c r="K181" s="2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28"/>
      <c r="K182" s="2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28"/>
      <c r="K183" s="2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28"/>
      <c r="K184" s="2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28"/>
      <c r="K185" s="2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28"/>
      <c r="K186" s="2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28"/>
      <c r="K187" s="2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28"/>
      <c r="K188" s="2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28"/>
      <c r="K189" s="2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28"/>
      <c r="K190" s="2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28"/>
      <c r="K191" s="2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28"/>
      <c r="K192" s="2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28"/>
      <c r="K193" s="2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28"/>
      <c r="K194" s="2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28"/>
      <c r="K195" s="2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28"/>
      <c r="K196" s="2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28"/>
      <c r="K197" s="2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28"/>
      <c r="K198" s="2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28"/>
      <c r="K199" s="2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28"/>
      <c r="K200" s="2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28"/>
      <c r="K201" s="2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28"/>
      <c r="K202" s="2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28"/>
      <c r="K203" s="2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28"/>
      <c r="K204" s="2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28"/>
      <c r="K205" s="2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28"/>
      <c r="K206" s="2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28"/>
      <c r="K207" s="2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28"/>
      <c r="K208" s="2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28"/>
      <c r="K209" s="2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28"/>
      <c r="K210" s="2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28"/>
      <c r="K211" s="2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28"/>
      <c r="K212" s="2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28"/>
      <c r="K213" s="2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28"/>
      <c r="K214" s="2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28"/>
      <c r="K215" s="2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28"/>
      <c r="K216" s="2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28"/>
      <c r="K217" s="2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28"/>
      <c r="K218" s="2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28"/>
      <c r="K219" s="2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28"/>
      <c r="K220" s="2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28"/>
      <c r="K221" s="2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28"/>
      <c r="K222" s="2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28"/>
      <c r="K223" s="2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28"/>
      <c r="K224" s="2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28"/>
      <c r="K225" s="2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28"/>
      <c r="K226" s="2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28"/>
      <c r="K227" s="2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28"/>
      <c r="K228" s="2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28"/>
      <c r="K229" s="2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28"/>
      <c r="K230" s="2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28"/>
      <c r="K231" s="2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28"/>
      <c r="K232" s="2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28"/>
      <c r="K233" s="2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28"/>
      <c r="K234" s="2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28"/>
      <c r="K235" s="2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28"/>
      <c r="K236" s="2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28"/>
      <c r="K237" s="2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28"/>
      <c r="K238" s="2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28"/>
      <c r="K239" s="2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28"/>
      <c r="K240" s="2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28"/>
      <c r="K241" s="2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28"/>
      <c r="K242" s="2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28"/>
      <c r="K243" s="2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28"/>
      <c r="K244" s="2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28"/>
      <c r="K245" s="2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28"/>
      <c r="K246" s="2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28"/>
      <c r="K247" s="2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28"/>
      <c r="K248" s="2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28"/>
      <c r="K249" s="2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28"/>
      <c r="K250" s="2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28"/>
      <c r="K251" s="2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28"/>
      <c r="K252" s="2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28"/>
      <c r="K253" s="2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28"/>
      <c r="K254" s="2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28"/>
      <c r="K255" s="2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28"/>
      <c r="K256" s="2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28"/>
      <c r="K257" s="2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28"/>
      <c r="K258" s="2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28"/>
      <c r="K259" s="2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28"/>
      <c r="K260" s="2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28"/>
      <c r="K261" s="2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28"/>
      <c r="K262" s="2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28"/>
      <c r="K263" s="2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28"/>
      <c r="K264" s="2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28"/>
      <c r="K265" s="2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28"/>
      <c r="K266" s="2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28"/>
      <c r="K267" s="2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28"/>
      <c r="K268" s="2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28"/>
      <c r="K269" s="2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28"/>
      <c r="K270" s="2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28"/>
      <c r="K271" s="2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28"/>
      <c r="K272" s="2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28"/>
      <c r="K273" s="2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28"/>
      <c r="K274" s="2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28"/>
      <c r="K275" s="2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28"/>
      <c r="K276" s="2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28"/>
      <c r="K277" s="2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28"/>
      <c r="K278" s="2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28"/>
      <c r="K279" s="2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28"/>
      <c r="K280" s="2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28"/>
      <c r="K281" s="2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28"/>
      <c r="K282" s="2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28"/>
      <c r="K283" s="2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28"/>
      <c r="K284" s="2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28"/>
      <c r="K285" s="2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28"/>
      <c r="K286" s="2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28"/>
      <c r="K287" s="2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28"/>
      <c r="K288" s="2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28"/>
      <c r="K289" s="2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28"/>
      <c r="K290" s="2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28"/>
      <c r="K291" s="2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28"/>
      <c r="K292" s="2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28"/>
      <c r="K293" s="2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28"/>
      <c r="K294" s="2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28"/>
      <c r="K295" s="2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28"/>
      <c r="K296" s="2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28"/>
      <c r="K297" s="2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28"/>
      <c r="K298" s="2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28"/>
      <c r="K299" s="2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28"/>
      <c r="K300" s="2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28"/>
      <c r="K301" s="2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28"/>
      <c r="K302" s="2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28"/>
      <c r="K303" s="2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28"/>
      <c r="K304" s="2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28"/>
      <c r="K305" s="2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28"/>
      <c r="K306" s="2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28"/>
      <c r="K307" s="2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28"/>
      <c r="K308" s="2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28"/>
      <c r="K309" s="2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28"/>
      <c r="K310" s="2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28"/>
      <c r="K311" s="2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28"/>
      <c r="K312" s="2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28"/>
      <c r="K313" s="2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28"/>
      <c r="K314" s="2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28"/>
      <c r="K315" s="2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28"/>
      <c r="K316" s="2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28"/>
      <c r="K317" s="2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28"/>
      <c r="K318" s="2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28"/>
      <c r="K319" s="2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28"/>
      <c r="K320" s="2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28"/>
      <c r="K321" s="2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28"/>
      <c r="K322" s="2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28"/>
      <c r="K323" s="2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28"/>
      <c r="K324" s="2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28"/>
      <c r="K325" s="2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28"/>
      <c r="K326" s="2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28"/>
      <c r="K327" s="2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28"/>
      <c r="K328" s="2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28"/>
      <c r="K329" s="2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28"/>
      <c r="K330" s="2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28"/>
      <c r="K331" s="2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28"/>
      <c r="K332" s="2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28"/>
      <c r="K333" s="2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28"/>
      <c r="K334" s="2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28"/>
      <c r="K335" s="2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28"/>
      <c r="K336" s="2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28"/>
      <c r="K337" s="2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28"/>
      <c r="K338" s="2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28"/>
      <c r="K339" s="2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28"/>
      <c r="K340" s="2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28"/>
      <c r="K341" s="2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28"/>
      <c r="K342" s="2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28"/>
      <c r="K343" s="2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28"/>
      <c r="K344" s="2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28"/>
      <c r="K345" s="2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28"/>
      <c r="K346" s="2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28"/>
      <c r="K347" s="2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28"/>
      <c r="K348" s="2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28"/>
      <c r="K349" s="2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28"/>
      <c r="K350" s="2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28"/>
      <c r="K351" s="2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28"/>
      <c r="K352" s="2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28"/>
      <c r="K353" s="2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28"/>
      <c r="K354" s="2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28"/>
      <c r="K355" s="2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28"/>
      <c r="K356" s="2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28"/>
      <c r="K357" s="2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28"/>
      <c r="K358" s="2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28"/>
      <c r="K359" s="2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28"/>
      <c r="K360" s="2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28"/>
      <c r="K361" s="2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28"/>
      <c r="K362" s="2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28"/>
      <c r="K363" s="2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28"/>
      <c r="K364" s="2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28"/>
      <c r="K365" s="2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28"/>
      <c r="K366" s="2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28"/>
      <c r="K367" s="2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28"/>
      <c r="K368" s="2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28"/>
      <c r="K369" s="2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28"/>
      <c r="K370" s="2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28"/>
      <c r="K371" s="2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28"/>
      <c r="K372" s="2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28"/>
      <c r="K373" s="2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28"/>
      <c r="K374" s="2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28"/>
      <c r="K375" s="2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28"/>
      <c r="K376" s="2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28"/>
      <c r="K377" s="2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28"/>
      <c r="K378" s="2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28"/>
      <c r="K379" s="2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28"/>
      <c r="K380" s="2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28"/>
      <c r="K381" s="2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28"/>
      <c r="K382" s="2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28"/>
      <c r="K383" s="2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28"/>
      <c r="K384" s="2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28"/>
      <c r="K385" s="2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28"/>
      <c r="K386" s="2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28"/>
      <c r="K387" s="2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28"/>
      <c r="K388" s="2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28"/>
      <c r="K389" s="2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28"/>
      <c r="K390" s="2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28"/>
      <c r="K391" s="2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28"/>
      <c r="K392" s="2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28"/>
      <c r="K393" s="2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28"/>
      <c r="K394" s="2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28"/>
      <c r="K395" s="2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28"/>
      <c r="K396" s="2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28"/>
      <c r="K397" s="2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28"/>
      <c r="K398" s="2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28"/>
      <c r="K399" s="2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28"/>
      <c r="K400" s="2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28"/>
      <c r="K401" s="2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28"/>
      <c r="K402" s="2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28"/>
      <c r="K403" s="2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28"/>
      <c r="K404" s="2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28"/>
      <c r="K405" s="2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28"/>
      <c r="K406" s="2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28"/>
      <c r="K407" s="2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28"/>
      <c r="K408" s="2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28"/>
      <c r="K409" s="2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28"/>
      <c r="K410" s="2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28"/>
      <c r="K411" s="2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28"/>
      <c r="K412" s="2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28"/>
      <c r="K413" s="2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28"/>
      <c r="K414" s="2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28"/>
      <c r="K415" s="2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28"/>
      <c r="K416" s="2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28"/>
      <c r="K417" s="2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28"/>
      <c r="K418" s="2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28"/>
      <c r="K419" s="2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28"/>
      <c r="K420" s="2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28"/>
      <c r="K421" s="2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28"/>
      <c r="K422" s="2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28"/>
      <c r="K423" s="2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28"/>
      <c r="K424" s="2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28"/>
      <c r="K425" s="2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28"/>
      <c r="K426" s="2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28"/>
      <c r="K427" s="2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28"/>
      <c r="K428" s="2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28"/>
      <c r="K429" s="2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28"/>
      <c r="K430" s="2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28"/>
      <c r="K431" s="2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28"/>
      <c r="K432" s="2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28"/>
      <c r="K433" s="2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28"/>
      <c r="K434" s="2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28"/>
      <c r="K435" s="2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28"/>
      <c r="K436" s="2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28"/>
      <c r="K437" s="2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28"/>
      <c r="K438" s="2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28"/>
      <c r="K439" s="2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28"/>
      <c r="K440" s="2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28"/>
      <c r="K441" s="2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28"/>
      <c r="K442" s="2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28"/>
      <c r="K443" s="2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28"/>
      <c r="K444" s="2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28"/>
      <c r="K445" s="2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28"/>
      <c r="K446" s="2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28"/>
      <c r="K447" s="2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28"/>
      <c r="K448" s="2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28"/>
      <c r="K449" s="2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28"/>
      <c r="K450" s="2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28"/>
      <c r="K451" s="2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28"/>
      <c r="K452" s="2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28"/>
      <c r="K453" s="2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28"/>
      <c r="K454" s="2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28"/>
      <c r="K455" s="2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28"/>
      <c r="K456" s="2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28"/>
      <c r="K457" s="2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28"/>
      <c r="K458" s="2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28"/>
      <c r="K459" s="2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28"/>
      <c r="K460" s="2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28"/>
      <c r="K461" s="2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28"/>
      <c r="K462" s="2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28"/>
      <c r="K463" s="2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28"/>
      <c r="K464" s="2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28"/>
      <c r="K465" s="2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28"/>
      <c r="K466" s="2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28"/>
      <c r="K467" s="2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28"/>
      <c r="K468" s="2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28"/>
      <c r="K469" s="2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28"/>
      <c r="K470" s="2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28"/>
      <c r="K471" s="2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28"/>
      <c r="K472" s="2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28"/>
      <c r="K473" s="2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28"/>
      <c r="K474" s="2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28"/>
      <c r="K475" s="2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28"/>
      <c r="K476" s="2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28"/>
      <c r="K477" s="2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28"/>
      <c r="K478" s="2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28"/>
      <c r="K479" s="2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28"/>
      <c r="K480" s="2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28"/>
      <c r="K481" s="2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28"/>
      <c r="K482" s="2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28"/>
      <c r="K483" s="2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28"/>
      <c r="K484" s="2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28"/>
      <c r="K485" s="2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28"/>
      <c r="K486" s="2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28"/>
      <c r="K487" s="2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28"/>
      <c r="K488" s="2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28"/>
      <c r="K489" s="2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28"/>
      <c r="K490" s="2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28"/>
      <c r="K491" s="2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28"/>
      <c r="K492" s="2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28"/>
      <c r="K493" s="2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28"/>
      <c r="K494" s="2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28"/>
      <c r="K495" s="2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28"/>
      <c r="K496" s="2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28"/>
      <c r="K497" s="2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28"/>
      <c r="K498" s="2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28"/>
      <c r="K499" s="2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28"/>
      <c r="K500" s="2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28"/>
      <c r="K501" s="2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28"/>
      <c r="K502" s="2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28"/>
      <c r="K503" s="2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28"/>
      <c r="K504" s="2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28"/>
      <c r="K505" s="2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28"/>
      <c r="K506" s="2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28"/>
      <c r="K507" s="2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28"/>
      <c r="K508" s="2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28"/>
      <c r="K509" s="2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28"/>
      <c r="K510" s="2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28"/>
      <c r="K511" s="2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28"/>
      <c r="K512" s="2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28"/>
      <c r="K513" s="2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28"/>
      <c r="K514" s="2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28"/>
      <c r="K515" s="2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28"/>
      <c r="K516" s="2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28"/>
      <c r="K517" s="2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28"/>
      <c r="K518" s="2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28"/>
      <c r="K519" s="2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28"/>
      <c r="K520" s="2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28"/>
      <c r="K521" s="2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28"/>
      <c r="K522" s="2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28"/>
      <c r="K523" s="2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28"/>
      <c r="K524" s="2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28"/>
      <c r="K525" s="2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28"/>
      <c r="K526" s="2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28"/>
      <c r="K527" s="2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28"/>
      <c r="K528" s="2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28"/>
      <c r="K529" s="2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28"/>
      <c r="K530" s="2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28"/>
      <c r="K531" s="2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28"/>
      <c r="K532" s="2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28"/>
      <c r="K533" s="2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28"/>
      <c r="K534" s="2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28"/>
      <c r="K535" s="2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28"/>
      <c r="K536" s="2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28"/>
      <c r="K537" s="2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28"/>
      <c r="K538" s="2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28"/>
      <c r="K539" s="2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28"/>
      <c r="K540" s="2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28"/>
      <c r="K541" s="2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28"/>
      <c r="K542" s="2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28"/>
      <c r="K543" s="2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28"/>
      <c r="K544" s="2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28"/>
      <c r="K545" s="2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28"/>
      <c r="K546" s="2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28"/>
      <c r="K547" s="2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28"/>
      <c r="K548" s="2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28"/>
      <c r="K549" s="2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28"/>
      <c r="K550" s="2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28"/>
      <c r="K551" s="2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28"/>
      <c r="K552" s="2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28"/>
      <c r="K553" s="2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28"/>
      <c r="K554" s="2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28"/>
      <c r="K555" s="2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28"/>
      <c r="K556" s="2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28"/>
      <c r="K557" s="2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28"/>
      <c r="K558" s="2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28"/>
      <c r="K559" s="2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28"/>
      <c r="K560" s="2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28"/>
      <c r="K561" s="2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28"/>
      <c r="K562" s="2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28"/>
      <c r="K563" s="2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28"/>
      <c r="K564" s="2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28"/>
      <c r="K565" s="2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28"/>
      <c r="K566" s="2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28"/>
      <c r="K567" s="2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28"/>
      <c r="K568" s="2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28"/>
      <c r="K569" s="2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28"/>
      <c r="K570" s="2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28"/>
      <c r="K571" s="2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28"/>
      <c r="K572" s="2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28"/>
      <c r="K573" s="2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28"/>
      <c r="K574" s="2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28"/>
      <c r="K575" s="2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28"/>
      <c r="K576" s="2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28"/>
      <c r="K577" s="2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28"/>
      <c r="K578" s="2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28"/>
      <c r="K579" s="2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28"/>
      <c r="K580" s="2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28"/>
      <c r="K581" s="2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28"/>
      <c r="K582" s="2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28"/>
      <c r="K583" s="2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28"/>
      <c r="K584" s="2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28"/>
      <c r="K585" s="2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28"/>
      <c r="K586" s="2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28"/>
      <c r="K587" s="2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28"/>
      <c r="K588" s="2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28"/>
      <c r="K589" s="2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28"/>
      <c r="K590" s="2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28"/>
      <c r="K591" s="2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28"/>
      <c r="K592" s="2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28"/>
      <c r="K593" s="2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28"/>
      <c r="K594" s="2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28"/>
      <c r="K595" s="2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28"/>
      <c r="K596" s="2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28"/>
      <c r="K597" s="2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28"/>
      <c r="K598" s="2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28"/>
      <c r="K599" s="2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28"/>
      <c r="K600" s="2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28"/>
      <c r="K601" s="2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28"/>
      <c r="K602" s="2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28"/>
      <c r="K603" s="2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28"/>
      <c r="K604" s="2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28"/>
      <c r="K605" s="2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28"/>
      <c r="K606" s="2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28"/>
      <c r="K607" s="2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28"/>
      <c r="K608" s="2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28"/>
      <c r="K609" s="2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28"/>
      <c r="K610" s="2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28"/>
      <c r="K611" s="2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28"/>
      <c r="K612" s="2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28"/>
      <c r="K613" s="2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28"/>
      <c r="K614" s="2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28"/>
      <c r="K615" s="2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28"/>
      <c r="K616" s="2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28"/>
      <c r="K617" s="2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28"/>
      <c r="K618" s="2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28"/>
      <c r="K619" s="2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28"/>
      <c r="K620" s="2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28"/>
      <c r="K621" s="2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28"/>
      <c r="K622" s="2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28"/>
      <c r="K623" s="2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28"/>
      <c r="K624" s="2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28"/>
      <c r="K625" s="2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28"/>
      <c r="K626" s="2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28"/>
      <c r="K627" s="2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28"/>
      <c r="K628" s="2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28"/>
      <c r="K629" s="2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28"/>
      <c r="K630" s="2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28"/>
      <c r="K631" s="2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28"/>
      <c r="K632" s="2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28"/>
      <c r="K633" s="2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28"/>
      <c r="K634" s="2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28"/>
      <c r="K635" s="2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28"/>
      <c r="K636" s="2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28"/>
      <c r="K637" s="2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28"/>
      <c r="K638" s="2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28"/>
      <c r="K639" s="2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28"/>
      <c r="K640" s="2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28"/>
      <c r="K641" s="2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28"/>
      <c r="K642" s="2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28"/>
      <c r="K643" s="2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28"/>
      <c r="K644" s="2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28"/>
      <c r="K645" s="2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28"/>
      <c r="K646" s="2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28"/>
      <c r="K647" s="2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28"/>
      <c r="K648" s="2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28"/>
      <c r="K649" s="2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28"/>
      <c r="K650" s="2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28"/>
      <c r="K651" s="2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28"/>
      <c r="K652" s="2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28"/>
      <c r="K653" s="2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28"/>
      <c r="K654" s="2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28"/>
      <c r="K655" s="2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28"/>
      <c r="K656" s="2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28"/>
      <c r="K657" s="2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28"/>
      <c r="K658" s="2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28"/>
      <c r="K659" s="2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28"/>
      <c r="K660" s="2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28"/>
      <c r="K661" s="2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28"/>
      <c r="K662" s="2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28"/>
      <c r="K663" s="2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28"/>
      <c r="K664" s="2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28"/>
      <c r="K665" s="2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28"/>
      <c r="K666" s="2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28"/>
      <c r="K667" s="2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28"/>
      <c r="K668" s="2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28"/>
      <c r="K669" s="2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28"/>
      <c r="K670" s="2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28"/>
      <c r="K671" s="2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28"/>
      <c r="K672" s="2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28"/>
      <c r="K673" s="2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28"/>
      <c r="K674" s="2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28"/>
      <c r="K675" s="2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28"/>
      <c r="K676" s="2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28"/>
      <c r="K677" s="2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28"/>
      <c r="K678" s="2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28"/>
      <c r="K679" s="2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28"/>
      <c r="K680" s="2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28"/>
      <c r="K681" s="2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28"/>
      <c r="K682" s="2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28"/>
      <c r="K683" s="2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28"/>
      <c r="K684" s="2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28"/>
      <c r="K685" s="2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28"/>
      <c r="K686" s="2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28"/>
      <c r="K687" s="2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28"/>
      <c r="K688" s="2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28"/>
      <c r="K689" s="2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28"/>
      <c r="K690" s="2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28"/>
      <c r="K691" s="2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28"/>
      <c r="K692" s="2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28"/>
      <c r="K693" s="2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28"/>
      <c r="K694" s="2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28"/>
      <c r="K695" s="2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28"/>
      <c r="K696" s="2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28"/>
      <c r="K697" s="2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28"/>
      <c r="K698" s="2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28"/>
      <c r="K699" s="2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28"/>
      <c r="K700" s="2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28"/>
      <c r="K701" s="2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28"/>
      <c r="K702" s="2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28"/>
      <c r="K703" s="2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28"/>
      <c r="K704" s="2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28"/>
      <c r="K705" s="2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28"/>
      <c r="K706" s="2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28"/>
      <c r="K707" s="2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28"/>
      <c r="K708" s="2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28"/>
      <c r="K709" s="2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28"/>
      <c r="K710" s="2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28"/>
      <c r="K711" s="2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28"/>
      <c r="K712" s="2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28"/>
      <c r="K713" s="2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28"/>
      <c r="K714" s="2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28"/>
      <c r="K715" s="2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28"/>
      <c r="K716" s="2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28"/>
      <c r="K717" s="2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28"/>
      <c r="K718" s="2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28"/>
      <c r="K719" s="2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28"/>
      <c r="K720" s="2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28"/>
      <c r="K721" s="2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28"/>
      <c r="K722" s="2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28"/>
      <c r="K723" s="2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28"/>
      <c r="K724" s="2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28"/>
      <c r="K725" s="2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28"/>
      <c r="K726" s="2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28"/>
      <c r="K727" s="2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28"/>
      <c r="K728" s="2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28"/>
      <c r="K729" s="2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28"/>
      <c r="K730" s="2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28"/>
      <c r="K731" s="2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28"/>
      <c r="K732" s="2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28"/>
      <c r="K733" s="2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28"/>
      <c r="K734" s="2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28"/>
      <c r="K735" s="2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28"/>
      <c r="K736" s="2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28"/>
      <c r="K737" s="2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28"/>
      <c r="K738" s="2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28"/>
      <c r="K739" s="2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28"/>
      <c r="K740" s="2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28"/>
      <c r="K741" s="2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28"/>
      <c r="K742" s="2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28"/>
      <c r="K743" s="2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28"/>
      <c r="K744" s="2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28"/>
      <c r="K745" s="2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28"/>
      <c r="K746" s="2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28"/>
      <c r="K747" s="2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28"/>
      <c r="K748" s="2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28"/>
      <c r="K749" s="2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28"/>
      <c r="K750" s="2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28"/>
      <c r="K751" s="2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28"/>
      <c r="K752" s="2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28"/>
      <c r="K753" s="2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28"/>
      <c r="K754" s="2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28"/>
      <c r="K755" s="2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28"/>
      <c r="K756" s="2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28"/>
      <c r="K757" s="2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28"/>
      <c r="K758" s="2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28"/>
      <c r="K759" s="2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28"/>
      <c r="K760" s="2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28"/>
      <c r="K761" s="2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28"/>
      <c r="K762" s="2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28"/>
      <c r="K763" s="2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28"/>
      <c r="K764" s="2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28"/>
      <c r="K765" s="2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28"/>
      <c r="K766" s="2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28"/>
      <c r="K767" s="2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28"/>
      <c r="K768" s="2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28"/>
      <c r="K769" s="2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28"/>
      <c r="K770" s="2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28"/>
      <c r="K771" s="2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28"/>
      <c r="K772" s="2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28"/>
      <c r="K773" s="2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28"/>
      <c r="K774" s="2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28"/>
      <c r="K775" s="2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28"/>
      <c r="K776" s="2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28"/>
      <c r="K777" s="2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28"/>
      <c r="K778" s="2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28"/>
      <c r="K779" s="2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28"/>
      <c r="K780" s="2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28"/>
      <c r="K781" s="2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28"/>
      <c r="K782" s="2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28"/>
      <c r="K783" s="2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28"/>
      <c r="K784" s="2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28"/>
      <c r="K785" s="2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28"/>
      <c r="K786" s="2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28"/>
      <c r="K787" s="2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28"/>
      <c r="K788" s="2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28"/>
      <c r="K789" s="2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28"/>
      <c r="K790" s="2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28"/>
      <c r="K791" s="2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28"/>
      <c r="K792" s="2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28"/>
      <c r="K793" s="2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28"/>
      <c r="K794" s="2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28"/>
      <c r="K795" s="2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28"/>
      <c r="K796" s="2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28"/>
      <c r="K797" s="2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28"/>
      <c r="K798" s="2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28"/>
      <c r="K799" s="2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28"/>
      <c r="K800" s="2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28"/>
      <c r="K801" s="2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28"/>
      <c r="K802" s="2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28"/>
      <c r="K803" s="2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28"/>
      <c r="K804" s="2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28"/>
      <c r="K805" s="2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28"/>
      <c r="K806" s="2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28"/>
      <c r="K807" s="2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28"/>
      <c r="K808" s="2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28"/>
      <c r="K809" s="2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28"/>
      <c r="K810" s="2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28"/>
      <c r="K811" s="2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28"/>
      <c r="K812" s="2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28"/>
      <c r="K813" s="2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28"/>
      <c r="K814" s="2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28"/>
      <c r="K815" s="2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28"/>
      <c r="K816" s="2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28"/>
      <c r="K817" s="2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28"/>
      <c r="K818" s="2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28"/>
      <c r="K819" s="2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28"/>
      <c r="K820" s="2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28"/>
      <c r="K821" s="2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28"/>
      <c r="K822" s="2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28"/>
      <c r="K823" s="2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28"/>
      <c r="K824" s="2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28"/>
      <c r="K825" s="2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28"/>
      <c r="K826" s="2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28"/>
      <c r="K827" s="2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28"/>
      <c r="K828" s="2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28"/>
      <c r="K829" s="2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28"/>
      <c r="K830" s="2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28"/>
      <c r="K831" s="2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28"/>
      <c r="K832" s="2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28"/>
      <c r="K833" s="2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28"/>
      <c r="K834" s="2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28"/>
      <c r="K835" s="2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28"/>
      <c r="K836" s="2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28"/>
      <c r="K837" s="2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28"/>
      <c r="K838" s="2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28"/>
      <c r="K839" s="2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28"/>
      <c r="K840" s="2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28"/>
      <c r="K841" s="2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28"/>
      <c r="K842" s="2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28"/>
      <c r="K843" s="2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28"/>
      <c r="K844" s="2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28"/>
      <c r="K845" s="2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28"/>
      <c r="K846" s="2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28"/>
      <c r="K847" s="2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28"/>
      <c r="K848" s="2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28"/>
      <c r="K849" s="2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28"/>
      <c r="K850" s="2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28"/>
      <c r="K851" s="2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28"/>
      <c r="K852" s="2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28"/>
      <c r="K853" s="2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28"/>
      <c r="K854" s="2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28"/>
      <c r="K855" s="2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28"/>
      <c r="K856" s="2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28"/>
      <c r="K857" s="2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28"/>
      <c r="K858" s="2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28"/>
      <c r="K859" s="2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28"/>
      <c r="K860" s="2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28"/>
      <c r="K861" s="2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28"/>
      <c r="K862" s="2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28"/>
      <c r="K863" s="2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28"/>
      <c r="K864" s="2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28"/>
      <c r="K865" s="2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28"/>
      <c r="K866" s="2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28"/>
      <c r="K867" s="2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28"/>
      <c r="K868" s="2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28"/>
      <c r="K869" s="2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28"/>
      <c r="K870" s="2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28"/>
      <c r="K871" s="2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28"/>
      <c r="K872" s="2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28"/>
      <c r="K873" s="2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28"/>
      <c r="K874" s="2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28"/>
      <c r="K875" s="2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28"/>
      <c r="K876" s="2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28"/>
      <c r="K877" s="2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28"/>
      <c r="K878" s="2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28"/>
      <c r="K879" s="2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28"/>
      <c r="K880" s="2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28"/>
      <c r="K881" s="2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28"/>
      <c r="K882" s="2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28"/>
      <c r="K883" s="2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28"/>
      <c r="K884" s="2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28"/>
      <c r="K885" s="2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28"/>
      <c r="K886" s="2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28"/>
      <c r="K887" s="2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28"/>
      <c r="K888" s="2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28"/>
      <c r="K889" s="2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28"/>
      <c r="K890" s="2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28"/>
      <c r="K891" s="2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28"/>
      <c r="K892" s="2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28"/>
      <c r="K893" s="2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28"/>
      <c r="K894" s="2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28"/>
      <c r="K895" s="2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28"/>
      <c r="K896" s="2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28"/>
      <c r="K897" s="2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28"/>
      <c r="K898" s="2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28"/>
      <c r="K899" s="2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28"/>
      <c r="K900" s="2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28"/>
      <c r="K901" s="2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28"/>
      <c r="K902" s="2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28"/>
      <c r="K903" s="2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28"/>
      <c r="K904" s="2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28"/>
      <c r="K905" s="2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28"/>
      <c r="K906" s="2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28"/>
      <c r="K907" s="2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28"/>
      <c r="K908" s="2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28"/>
      <c r="K909" s="2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28"/>
      <c r="K910" s="2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28"/>
      <c r="K911" s="2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28"/>
      <c r="K912" s="2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28"/>
      <c r="K913" s="2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28"/>
      <c r="K914" s="2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28"/>
      <c r="K915" s="2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28"/>
      <c r="K916" s="2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28"/>
      <c r="K917" s="2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28"/>
      <c r="K918" s="2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28"/>
      <c r="K919" s="2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28"/>
      <c r="K920" s="2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28"/>
      <c r="K921" s="2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28"/>
      <c r="K922" s="2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28"/>
      <c r="K923" s="2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28"/>
      <c r="K924" s="2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28"/>
      <c r="K925" s="2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28"/>
      <c r="K926" s="2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28"/>
      <c r="K927" s="2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28"/>
      <c r="K928" s="2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28"/>
      <c r="K929" s="2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28"/>
      <c r="K930" s="2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28"/>
      <c r="K931" s="2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28"/>
      <c r="K932" s="2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28"/>
      <c r="K933" s="2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28"/>
      <c r="K934" s="2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28"/>
      <c r="K935" s="2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28"/>
      <c r="K936" s="2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28"/>
      <c r="K937" s="2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28"/>
      <c r="K938" s="2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28"/>
      <c r="K939" s="2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28"/>
      <c r="K940" s="2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28"/>
      <c r="K941" s="2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28"/>
      <c r="K942" s="2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28"/>
      <c r="K943" s="2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28"/>
      <c r="K944" s="2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28"/>
      <c r="K945" s="2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28"/>
      <c r="K946" s="2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28"/>
      <c r="K947" s="2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28"/>
      <c r="K948" s="2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28"/>
      <c r="K949" s="2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28"/>
      <c r="K950" s="2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28"/>
      <c r="K951" s="2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28"/>
      <c r="K952" s="2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28"/>
      <c r="K953" s="2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28"/>
      <c r="K954" s="2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28"/>
      <c r="K955" s="2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28"/>
      <c r="K956" s="2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28"/>
      <c r="K957" s="2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28"/>
      <c r="K958" s="2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28"/>
      <c r="K959" s="2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28"/>
      <c r="K960" s="2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28"/>
      <c r="K961" s="2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28"/>
      <c r="K962" s="2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28"/>
      <c r="K963" s="2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28"/>
      <c r="K964" s="2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28"/>
      <c r="K965" s="2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28"/>
      <c r="K966" s="2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28"/>
      <c r="K967" s="2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28"/>
      <c r="K968" s="2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28"/>
      <c r="K969" s="2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28"/>
      <c r="K970" s="2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28"/>
      <c r="K971" s="2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28"/>
      <c r="K972" s="2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28"/>
      <c r="K973" s="2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28"/>
      <c r="K974" s="2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28"/>
      <c r="K975" s="2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28"/>
      <c r="K976" s="2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28"/>
      <c r="K977" s="2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28"/>
      <c r="K978" s="2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28"/>
      <c r="K979" s="2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28"/>
      <c r="K980" s="2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28"/>
      <c r="K981" s="2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28"/>
      <c r="K982" s="2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28"/>
      <c r="K983" s="2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28"/>
      <c r="K984" s="2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28"/>
      <c r="K985" s="2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28"/>
      <c r="K986" s="2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28"/>
      <c r="K987" s="2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28"/>
      <c r="K988" s="2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28"/>
      <c r="K989" s="2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28"/>
      <c r="K990" s="2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28"/>
      <c r="K991" s="2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28"/>
      <c r="K992" s="2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28"/>
      <c r="K993" s="2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28"/>
      <c r="K994" s="2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28"/>
      <c r="K995" s="2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28"/>
      <c r="K996" s="2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28"/>
      <c r="K997" s="2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28"/>
      <c r="K998" s="2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28"/>
      <c r="K999" s="2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28"/>
      <c r="K1000" s="2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mergeCells count="13">
    <mergeCell ref="C2:D2"/>
    <mergeCell ref="A3:D3"/>
    <mergeCell ref="A8:D8"/>
    <mergeCell ref="A13:D13"/>
    <mergeCell ref="A18:D18"/>
    <mergeCell ref="A23:D23"/>
    <mergeCell ref="A1:D1"/>
    <mergeCell ref="F1:F2"/>
    <mergeCell ref="G1:G2"/>
    <mergeCell ref="H1:K1"/>
    <mergeCell ref="A2:B2"/>
    <mergeCell ref="H2:I2"/>
    <mergeCell ref="J2:K2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